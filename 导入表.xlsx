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workspace\git\HSZC-Swimming\"/>
    </mc:Choice>
  </mc:AlternateContent>
  <xr:revisionPtr revIDLastSave="0" documentId="13_ncr:1_{BDDC576F-11DC-4D35-B53F-EFC2DFE4BBFC}" xr6:coauthVersionLast="47" xr6:coauthVersionMax="47" xr10:uidLastSave="{00000000-0000-0000-0000-000000000000}"/>
  <bookViews>
    <workbookView xWindow="-110" yWindow="-110" windowWidth="25420" windowHeight="16300" activeTab="1" xr2:uid="{00000000-000D-0000-FFFF-FFFF00000000}"/>
  </bookViews>
  <sheets>
    <sheet name="会员信息" sheetId="1" r:id="rId1"/>
    <sheet name="会员成绩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G3" i="1"/>
  <c r="F3" i="1"/>
  <c r="H2" i="1"/>
  <c r="G2" i="1"/>
  <c r="F2" i="1"/>
</calcChain>
</file>

<file path=xl/sharedStrings.xml><?xml version="1.0" encoding="utf-8"?>
<sst xmlns="http://schemas.openxmlformats.org/spreadsheetml/2006/main" count="87" uniqueCount="49">
  <si>
    <t>姓名</t>
  </si>
  <si>
    <t>国籍</t>
  </si>
  <si>
    <t>性别</t>
  </si>
  <si>
    <t>身份证号码</t>
  </si>
  <si>
    <t>出生日期</t>
  </si>
  <si>
    <t>生日</t>
  </si>
  <si>
    <t>年龄</t>
  </si>
  <si>
    <t>身高（CM）</t>
  </si>
  <si>
    <t>体重（KG）</t>
  </si>
  <si>
    <t>手机</t>
  </si>
  <si>
    <t>自由泳</t>
  </si>
  <si>
    <t>蝶泳</t>
  </si>
  <si>
    <t>其它</t>
  </si>
  <si>
    <t>中国</t>
  </si>
  <si>
    <t>男</t>
  </si>
  <si>
    <t>贾世超</t>
  </si>
  <si>
    <t>李允龙</t>
  </si>
  <si>
    <t>昵称</t>
    <phoneticPr fontId="5" type="noConversion"/>
  </si>
  <si>
    <t>110221197903218312</t>
    <phoneticPr fontId="5" type="noConversion"/>
  </si>
  <si>
    <t>110102198203110410</t>
    <phoneticPr fontId="5" type="noConversion"/>
  </si>
  <si>
    <t>91</t>
    <phoneticPr fontId="5" type="noConversion"/>
  </si>
  <si>
    <t>长期坚持游泳，坚持坚持</t>
    <phoneticPr fontId="5" type="noConversion"/>
  </si>
  <si>
    <t>不游泳</t>
    <phoneticPr fontId="5" type="noConversion"/>
  </si>
  <si>
    <t>会员姓名</t>
  </si>
  <si>
    <t>泳姿</t>
  </si>
  <si>
    <t>距离</t>
  </si>
  <si>
    <t>成绩</t>
  </si>
  <si>
    <t>组别</t>
  </si>
  <si>
    <t>名次</t>
  </si>
  <si>
    <t>活动名称</t>
  </si>
  <si>
    <t>活动日期</t>
  </si>
  <si>
    <t>备注</t>
  </si>
  <si>
    <t>50m</t>
  </si>
  <si>
    <t>-</t>
    <phoneticPr fontId="5" type="noConversion"/>
  </si>
  <si>
    <t>2025年新加坡大师赛</t>
  </si>
  <si>
    <t>100m</t>
  </si>
  <si>
    <t>35-39</t>
  </si>
  <si>
    <t>31.74 34.56</t>
    <phoneticPr fontId="5" type="noConversion"/>
  </si>
  <si>
    <t>33.98 42.79</t>
    <phoneticPr fontId="5" type="noConversion"/>
  </si>
  <si>
    <t>45-49</t>
  </si>
  <si>
    <t>接力</t>
    <phoneticPr fontId="5" type="noConversion"/>
  </si>
  <si>
    <t>混合泳</t>
    <phoneticPr fontId="5" type="noConversion"/>
  </si>
  <si>
    <t>4*50m</t>
  </si>
  <si>
    <t>男女</t>
  </si>
  <si>
    <t>谭乐35.16 | 毛晓32.72 |李超35.18 |党云32.24</t>
    <phoneticPr fontId="5" type="noConversion"/>
  </si>
  <si>
    <t>160-199</t>
  </si>
  <si>
    <t>龙龙</t>
    <phoneticPr fontId="5" type="noConversion"/>
  </si>
  <si>
    <t>小贾</t>
    <phoneticPr fontId="5" type="noConversion"/>
  </si>
  <si>
    <t>积分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</si>
</sst>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yyyy&quot;年&quot;m&quot;月&quot;d&quot;日&quot;;@"/>
    <numFmt numFmtId="178" formatCode="#,##0_ "/>
    <numFmt numFmtId="179" formatCode="0_ "/>
    <numFmt numFmtId="180" formatCode="mm:ss.00"/>
  </numFmts>
  <fonts count="8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176" fontId="0" fillId="0" borderId="0">
      <alignment vertical="center"/>
    </xf>
    <xf numFmtId="176" fontId="4" fillId="0" borderId="0"/>
    <xf numFmtId="176" fontId="4" fillId="0" borderId="0">
      <alignment vertical="center"/>
    </xf>
  </cellStyleXfs>
  <cellXfs count="30">
    <xf numFmtId="176" fontId="0" fillId="0" borderId="0" xfId="0">
      <alignment vertical="center"/>
    </xf>
    <xf numFmtId="176" fontId="1" fillId="0" borderId="1" xfId="0" applyFont="1" applyBorder="1" applyAlignment="1">
      <alignment horizontal="center" vertical="center"/>
    </xf>
    <xf numFmtId="176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176" fontId="3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176" fontId="2" fillId="2" borderId="1" xfId="0" applyFont="1" applyFill="1" applyBorder="1" applyAlignment="1">
      <alignment horizontal="center" vertical="center" wrapText="1"/>
    </xf>
    <xf numFmtId="176" fontId="3" fillId="0" borderId="1" xfId="0" applyFont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6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6" fillId="2" borderId="1" xfId="0" applyFont="1" applyFill="1" applyBorder="1" applyAlignment="1">
      <alignment horizontal="center" vertical="center" wrapText="1"/>
    </xf>
    <xf numFmtId="180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179" fontId="6" fillId="2" borderId="1" xfId="0" applyNumberFormat="1" applyFont="1" applyFill="1" applyBorder="1" applyAlignment="1">
      <alignment horizontal="center" vertical="center"/>
    </xf>
    <xf numFmtId="178" fontId="6" fillId="2" borderId="1" xfId="0" applyNumberFormat="1" applyFont="1" applyFill="1" applyBorder="1" applyAlignment="1">
      <alignment horizontal="center" vertical="center"/>
    </xf>
    <xf numFmtId="176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left" vertical="center" wrapText="1"/>
    </xf>
    <xf numFmtId="180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76" fontId="7" fillId="0" borderId="1" xfId="0" applyFont="1" applyBorder="1" applyAlignment="1">
      <alignment horizontal="center" vertic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B4" sqref="B4"/>
    </sheetView>
  </sheetViews>
  <sheetFormatPr defaultColWidth="9" defaultRowHeight="15" x14ac:dyDescent="0.25"/>
  <cols>
    <col min="1" max="1" width="12.1796875" style="13" customWidth="1"/>
    <col min="2" max="2" width="13.453125" style="13" customWidth="1"/>
    <col min="3" max="3" width="9" style="13"/>
    <col min="4" max="4" width="9" style="13" customWidth="1"/>
    <col min="5" max="5" width="34.08984375" style="14" customWidth="1"/>
    <col min="6" max="6" width="15.90625" style="15" customWidth="1"/>
    <col min="7" max="7" width="14.6328125" style="16" customWidth="1"/>
    <col min="8" max="8" width="14.7265625" style="13" customWidth="1"/>
    <col min="9" max="9" width="14.7265625" style="17" customWidth="1"/>
    <col min="10" max="10" width="11.08984375" style="17" customWidth="1"/>
    <col min="11" max="11" width="13.54296875" style="17" bestFit="1" customWidth="1"/>
    <col min="12" max="12" width="32.08984375" customWidth="1"/>
  </cols>
  <sheetData>
    <row r="1" spans="1:12" ht="30" x14ac:dyDescent="0.25">
      <c r="A1" s="9" t="s">
        <v>0</v>
      </c>
      <c r="B1" s="9" t="s">
        <v>17</v>
      </c>
      <c r="C1" s="9" t="s">
        <v>1</v>
      </c>
      <c r="D1" s="9" t="s">
        <v>2</v>
      </c>
      <c r="E1" s="11" t="s">
        <v>3</v>
      </c>
      <c r="F1" s="12" t="s">
        <v>4</v>
      </c>
      <c r="G1" s="12" t="s">
        <v>5</v>
      </c>
      <c r="H1" s="9" t="s">
        <v>6</v>
      </c>
      <c r="I1" s="11" t="s">
        <v>7</v>
      </c>
      <c r="J1" s="11" t="s">
        <v>8</v>
      </c>
      <c r="K1" s="11" t="s">
        <v>9</v>
      </c>
      <c r="L1" s="9" t="s">
        <v>12</v>
      </c>
    </row>
    <row r="2" spans="1:12" x14ac:dyDescent="0.25">
      <c r="A2" s="2" t="s">
        <v>16</v>
      </c>
      <c r="B2" s="29" t="s">
        <v>46</v>
      </c>
      <c r="C2" s="6" t="s">
        <v>13</v>
      </c>
      <c r="D2" s="6" t="s">
        <v>14</v>
      </c>
      <c r="E2" s="5" t="s">
        <v>18</v>
      </c>
      <c r="F2" s="7">
        <f t="shared" ref="F2:F3" si="0">IF(E2&lt;&gt;"",DATE(MID(E2,7,4),MID(E2,11,2),MID(E2,13,2)),"-")</f>
        <v>28935</v>
      </c>
      <c r="G2" s="7" t="str">
        <f t="shared" ref="G2:G3" si="1">IF(AND(E2&lt;&gt;"",LEN(E2)=18),TEXT(MID(E2,11,4),"00月00日"),"-")</f>
        <v>03月21日</v>
      </c>
      <c r="H2" s="3">
        <f t="shared" ref="H2:H3" ca="1" si="2">IF(AND(E2&lt;&gt;"",LEN(E2)=18),YEAR(NOW())-MID(E2,7,4),"-")</f>
        <v>47</v>
      </c>
      <c r="I2" s="5">
        <v>177</v>
      </c>
      <c r="J2" s="5" t="s">
        <v>20</v>
      </c>
      <c r="K2" s="5">
        <v>13366638198</v>
      </c>
      <c r="L2" s="10" t="s">
        <v>21</v>
      </c>
    </row>
    <row r="3" spans="1:12" x14ac:dyDescent="0.25">
      <c r="A3" s="2" t="s">
        <v>15</v>
      </c>
      <c r="B3" s="29" t="s">
        <v>47</v>
      </c>
      <c r="C3" s="6" t="s">
        <v>13</v>
      </c>
      <c r="D3" s="6" t="s">
        <v>14</v>
      </c>
      <c r="E3" s="5" t="s">
        <v>19</v>
      </c>
      <c r="F3" s="7">
        <f t="shared" si="0"/>
        <v>30021</v>
      </c>
      <c r="G3" s="7" t="str">
        <f t="shared" si="1"/>
        <v>03月11日</v>
      </c>
      <c r="H3" s="3">
        <f t="shared" ca="1" si="2"/>
        <v>44</v>
      </c>
      <c r="I3" s="5">
        <v>190</v>
      </c>
      <c r="J3" s="5">
        <v>90</v>
      </c>
      <c r="K3" s="5">
        <v>13301163722</v>
      </c>
      <c r="L3" s="10" t="s">
        <v>22</v>
      </c>
    </row>
  </sheetData>
  <phoneticPr fontId="5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14D8-D2C7-4CF1-9A32-99F8C0A942F8}">
  <dimension ref="A1:K7"/>
  <sheetViews>
    <sheetView tabSelected="1" workbookViewId="0">
      <selection activeCell="I19" sqref="I19"/>
    </sheetView>
  </sheetViews>
  <sheetFormatPr defaultColWidth="18.36328125" defaultRowHeight="14" x14ac:dyDescent="0.25"/>
  <cols>
    <col min="9" max="9" width="29.7265625" customWidth="1"/>
  </cols>
  <sheetData>
    <row r="1" spans="1:11" ht="15" x14ac:dyDescent="0.25">
      <c r="A1" s="18" t="s">
        <v>23</v>
      </c>
      <c r="B1" s="23" t="s">
        <v>24</v>
      </c>
      <c r="C1" s="23" t="s">
        <v>25</v>
      </c>
      <c r="D1" s="19" t="s">
        <v>26</v>
      </c>
      <c r="E1" s="19" t="s">
        <v>2</v>
      </c>
      <c r="F1" s="20" t="s">
        <v>27</v>
      </c>
      <c r="G1" s="21" t="s">
        <v>28</v>
      </c>
      <c r="H1" s="22" t="s">
        <v>48</v>
      </c>
      <c r="I1" s="23" t="s">
        <v>29</v>
      </c>
      <c r="J1" s="23" t="s">
        <v>30</v>
      </c>
      <c r="K1" s="24" t="s">
        <v>31</v>
      </c>
    </row>
    <row r="2" spans="1:11" ht="15" x14ac:dyDescent="0.25">
      <c r="A2" s="2" t="s">
        <v>16</v>
      </c>
      <c r="B2" s="1" t="s">
        <v>10</v>
      </c>
      <c r="C2" s="1" t="s">
        <v>35</v>
      </c>
      <c r="D2" s="25">
        <v>7.6736111111111113E-4</v>
      </c>
      <c r="E2" s="25" t="s">
        <v>14</v>
      </c>
      <c r="F2" s="4" t="s">
        <v>36</v>
      </c>
      <c r="G2" s="26" t="s">
        <v>33</v>
      </c>
      <c r="H2" s="27" t="s">
        <v>33</v>
      </c>
      <c r="I2" s="1" t="s">
        <v>34</v>
      </c>
      <c r="J2" s="28">
        <v>45874</v>
      </c>
      <c r="K2" s="8" t="s">
        <v>37</v>
      </c>
    </row>
    <row r="3" spans="1:11" ht="15" x14ac:dyDescent="0.25">
      <c r="A3" s="2" t="s">
        <v>16</v>
      </c>
      <c r="B3" s="1" t="s">
        <v>11</v>
      </c>
      <c r="C3" s="1" t="s">
        <v>35</v>
      </c>
      <c r="D3" s="25">
        <v>8.885416666666666E-4</v>
      </c>
      <c r="E3" s="25" t="s">
        <v>14</v>
      </c>
      <c r="F3" s="4" t="s">
        <v>36</v>
      </c>
      <c r="G3" s="26" t="s">
        <v>33</v>
      </c>
      <c r="H3" s="27" t="s">
        <v>33</v>
      </c>
      <c r="I3" s="1" t="s">
        <v>34</v>
      </c>
      <c r="J3" s="28">
        <v>45874</v>
      </c>
      <c r="K3" s="8" t="s">
        <v>38</v>
      </c>
    </row>
    <row r="4" spans="1:11" ht="15" x14ac:dyDescent="0.25">
      <c r="A4" s="2" t="s">
        <v>15</v>
      </c>
      <c r="B4" s="1" t="s">
        <v>10</v>
      </c>
      <c r="C4" s="1" t="s">
        <v>32</v>
      </c>
      <c r="D4" s="25">
        <v>3.5972222222222221E-4</v>
      </c>
      <c r="E4" s="25" t="s">
        <v>14</v>
      </c>
      <c r="F4" s="4" t="s">
        <v>39</v>
      </c>
      <c r="G4" s="26" t="s">
        <v>33</v>
      </c>
      <c r="H4" s="27" t="s">
        <v>33</v>
      </c>
      <c r="I4" s="1" t="s">
        <v>34</v>
      </c>
      <c r="J4" s="28">
        <v>45874</v>
      </c>
      <c r="K4" s="8"/>
    </row>
    <row r="5" spans="1:11" ht="15" x14ac:dyDescent="0.25">
      <c r="A5" s="2" t="s">
        <v>15</v>
      </c>
      <c r="B5" s="1" t="s">
        <v>10</v>
      </c>
      <c r="C5" s="1" t="s">
        <v>35</v>
      </c>
      <c r="D5" s="25">
        <v>7.9687499999999995E-4</v>
      </c>
      <c r="E5" s="25" t="s">
        <v>14</v>
      </c>
      <c r="F5" s="4" t="s">
        <v>39</v>
      </c>
      <c r="G5" s="26" t="s">
        <v>33</v>
      </c>
      <c r="H5" s="27" t="s">
        <v>33</v>
      </c>
      <c r="I5" s="1" t="s">
        <v>34</v>
      </c>
      <c r="J5" s="28">
        <v>45874</v>
      </c>
      <c r="K5" s="8"/>
    </row>
    <row r="6" spans="1:11" ht="15" x14ac:dyDescent="0.25">
      <c r="A6" s="2" t="s">
        <v>15</v>
      </c>
      <c r="B6" s="1" t="s">
        <v>11</v>
      </c>
      <c r="C6" s="1" t="s">
        <v>32</v>
      </c>
      <c r="D6" s="25">
        <v>3.9641203703703702E-4</v>
      </c>
      <c r="E6" s="25" t="s">
        <v>14</v>
      </c>
      <c r="F6" s="4" t="s">
        <v>39</v>
      </c>
      <c r="G6" s="26" t="s">
        <v>33</v>
      </c>
      <c r="H6" s="27" t="s">
        <v>33</v>
      </c>
      <c r="I6" s="1" t="s">
        <v>34</v>
      </c>
      <c r="J6" s="28">
        <v>45874</v>
      </c>
      <c r="K6" s="8"/>
    </row>
    <row r="7" spans="1:11" ht="45" x14ac:dyDescent="0.25">
      <c r="A7" s="2" t="s">
        <v>40</v>
      </c>
      <c r="B7" s="1" t="s">
        <v>41</v>
      </c>
      <c r="C7" s="1" t="s">
        <v>42</v>
      </c>
      <c r="D7" s="25">
        <v>1.5659722222222223E-3</v>
      </c>
      <c r="E7" s="25" t="s">
        <v>43</v>
      </c>
      <c r="F7" s="4" t="s">
        <v>45</v>
      </c>
      <c r="G7" s="26" t="s">
        <v>33</v>
      </c>
      <c r="H7" s="27" t="s">
        <v>33</v>
      </c>
      <c r="I7" s="1" t="s">
        <v>34</v>
      </c>
      <c r="J7" s="28">
        <v>45874</v>
      </c>
      <c r="K7" s="8" t="s">
        <v>44</v>
      </c>
    </row>
  </sheetData>
  <phoneticPr fontId="5" type="noConversion"/>
  <dataValidations count="4">
    <dataValidation type="list" allowBlank="1" showInputMessage="1" showErrorMessage="1" sqref="F1:F7" xr:uid="{4229CF0F-2F4B-478B-ADA6-34C467AD4F51}">
      <formula1>"-,18-29,18-24,25-29,30-34,35-39,40-44,45-49,50-54,55-59,60-64,65-69,70-74,75-79,80-84,85-89,90-94,100-119,120-159,160-199,200-239,2010,2009,2008,2007,2006,2005-2006,2005-2004,2004-2006,60-65,2001-2003,2005-2007,2008-2009,100-119,120-159,160-199,200-239"</formula1>
    </dataValidation>
    <dataValidation type="list" allowBlank="1" showInputMessage="1" showErrorMessage="1" sqref="B1:B7" xr:uid="{249FF907-0358-4B02-9064-DDA8F7B231E5}">
      <formula1>"蝶泳,仰泳,蛙泳,自由泳,混合泳,蝶腿,仰腿,蛙腿,自腿,公开水域"</formula1>
    </dataValidation>
    <dataValidation type="list" allowBlank="1" showInputMessage="1" showErrorMessage="1" sqref="C1:C7" xr:uid="{1C289EE3-2FE2-4988-9D08-2599FEE73454}">
      <formula1>"50m,100m,200m,400m,800m,1000m,1500m,3000m,4*50m,4*100m"</formula1>
    </dataValidation>
    <dataValidation type="list" allowBlank="1" showInputMessage="1" showErrorMessage="1" sqref="E1:E7" xr:uid="{112D4ECC-6390-441D-922D-8B06C0AE51D9}">
      <formula1>"-,男,女,男女"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会员信息</vt:lpstr>
      <vt:lpstr>会员成绩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ZZJ</dc:creator>
  <cp:lastModifiedBy>milton zhao</cp:lastModifiedBy>
  <cp:lastPrinted>2018-05-15T06:36:00Z</cp:lastPrinted>
  <dcterms:created xsi:type="dcterms:W3CDTF">2016-03-15T08:32:00Z</dcterms:created>
  <dcterms:modified xsi:type="dcterms:W3CDTF">2026-06-03T09:34:52Z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1356551AE04046A0A39775F9A644A27F_12</vt:lpwstr>
  </property>
</Properties>
</file>